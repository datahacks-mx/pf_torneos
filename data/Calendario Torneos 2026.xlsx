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raymu\Downloads\dashboard_rpubs_calendario_torneos_2026_2col\data\"/>
    </mc:Choice>
  </mc:AlternateContent>
  <xr:revisionPtr revIDLastSave="0" documentId="13_ncr:1_{5227E5EF-E8DC-4E88-AC10-710F43EE5E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" sheetId="1" r:id="rId1"/>
  </sheets>
  <definedNames>
    <definedName name="_xlnm._FilterDatabase" localSheetId="0" hidden="1">base!$B$4:$I$31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</calcChain>
</file>

<file path=xl/sharedStrings.xml><?xml version="1.0" encoding="utf-8"?>
<sst xmlns="http://schemas.openxmlformats.org/spreadsheetml/2006/main" count="348" uniqueCount="149">
  <si>
    <t>Calendario Torneos 2026</t>
  </si>
  <si>
    <t>PointFigh Club</t>
  </si>
  <si>
    <t>Fecha</t>
  </si>
  <si>
    <t>Nombre</t>
  </si>
  <si>
    <t>Promotor</t>
  </si>
  <si>
    <t>Sede</t>
  </si>
  <si>
    <t>Entidad</t>
  </si>
  <si>
    <t>Municipio</t>
  </si>
  <si>
    <t>Liga/Asociacion</t>
  </si>
  <si>
    <t>Dirección</t>
  </si>
  <si>
    <t>MES</t>
  </si>
  <si>
    <t>Desafío Yin Calmecac</t>
  </si>
  <si>
    <t>Mario Martín del Campo</t>
  </si>
  <si>
    <t>Ciudad de México</t>
  </si>
  <si>
    <t>Álvaro Obregón</t>
  </si>
  <si>
    <t>Sin registro</t>
  </si>
  <si>
    <t>Camino Sta. Teresa 71, Jardines del Pedregal, Álvaro Obregón, 01900 Ciudad de México, CDMX</t>
  </si>
  <si>
    <t>Impact Grand Slam 26</t>
  </si>
  <si>
    <t>Alfred Romero, Erik Cano, Jaime Quirino y Vladimir Guadarrama</t>
  </si>
  <si>
    <t>Tecnológico de Estudios Superiores Ecatepec</t>
  </si>
  <si>
    <t>México</t>
  </si>
  <si>
    <t>Ecatepec</t>
  </si>
  <si>
    <t>CIPDAM</t>
  </si>
  <si>
    <t>Av. Tecnológico S/N, Valle de Anahuac, 55210 Ecatepec de Morelos, Méx.</t>
  </si>
  <si>
    <t>Torneo de los Dioses Mayas</t>
  </si>
  <si>
    <t>Kevin y Jeremy</t>
  </si>
  <si>
    <t>Deportivo de los Electricistas</t>
  </si>
  <si>
    <t>Coyoacán</t>
  </si>
  <si>
    <t>WKC - LASC</t>
  </si>
  <si>
    <t>Calz. del Hueso 380, Coapa, Girasoles III, Coyoacán, 04920 Ciudad de México, CDMX</t>
  </si>
  <si>
    <t>Torneo JC</t>
  </si>
  <si>
    <t>Cesar Morales e Isaac Morales</t>
  </si>
  <si>
    <t>Universidad Justo Sierra</t>
  </si>
  <si>
    <t>Gustavo A. Madero</t>
  </si>
  <si>
    <t>Eje Central Lázaro Cárdenas 1150 Col, Nueva Industrial Vallejo, Gustavo A. Madero, 07340 Ciudad de México, CDMX</t>
  </si>
  <si>
    <t>Mexican Best Fighter</t>
  </si>
  <si>
    <t>Armando Rosales y Diego Rosales</t>
  </si>
  <si>
    <t>Por confirmar</t>
  </si>
  <si>
    <t>Copa Ninjas 26</t>
  </si>
  <si>
    <t>Adrián Juárez</t>
  </si>
  <si>
    <t>Deportivo 18 de Marzo</t>
  </si>
  <si>
    <t>Habana s/n, Tepeyac Insurgentes, Gustavo A. Madero, 07020 Ciudad de México, CDMX</t>
  </si>
  <si>
    <t>Garra de Tigre XXI</t>
  </si>
  <si>
    <t>WKU México</t>
  </si>
  <si>
    <t>Aguascalientes</t>
  </si>
  <si>
    <t>WKU</t>
  </si>
  <si>
    <t>Copa Izanami: Torneo Femenil de Artes Marciales</t>
  </si>
  <si>
    <t>Miguel Rodríguez</t>
  </si>
  <si>
    <t>Copa Sastré</t>
  </si>
  <si>
    <t>Giovanii Sastré</t>
  </si>
  <si>
    <t>Liceo Holándes</t>
  </si>
  <si>
    <t>Metepec</t>
  </si>
  <si>
    <t>C. la Cañada Manzana 040, Providencia, La-colonia-, La Providencia, 52140 Metepec, Méx.</t>
  </si>
  <si>
    <t>The Last Ronin</t>
  </si>
  <si>
    <t>Gran Dragón</t>
  </si>
  <si>
    <t>Betsi Vivero y Ande Ortega</t>
  </si>
  <si>
    <t>Morelos</t>
  </si>
  <si>
    <t>Tlayacapan</t>
  </si>
  <si>
    <t>Pequeños Dragones: Cuartetas 2026 4 elementos</t>
  </si>
  <si>
    <t>Damián Morales</t>
  </si>
  <si>
    <t>Copa Kids 2026</t>
  </si>
  <si>
    <t>Adrián García Ibañez</t>
  </si>
  <si>
    <t>Jardín de Eventos Aldebaran</t>
  </si>
  <si>
    <t>Atizapán de Zaragoza</t>
  </si>
  <si>
    <t>Av. las Granjas 23, Las Colonias, 52953 Cdad. López Mateos, Méx.</t>
  </si>
  <si>
    <t>Impacto Águila</t>
  </si>
  <si>
    <t>José Alfredo Hernández</t>
  </si>
  <si>
    <t>WKC - NASKA - NMAC</t>
  </si>
  <si>
    <t>PRO FIGHTERS Challenge</t>
  </si>
  <si>
    <t>Emmanuel Loredo</t>
  </si>
  <si>
    <t>Riviera Maya</t>
  </si>
  <si>
    <t>Quintana Roo</t>
  </si>
  <si>
    <t>Puerto Morelos</t>
  </si>
  <si>
    <t>SAMDA - CEFAM</t>
  </si>
  <si>
    <t>XXIV Torneo Abierto KIM</t>
  </si>
  <si>
    <t>Luis Kim Rivas</t>
  </si>
  <si>
    <t>CIPDAM - AMA</t>
  </si>
  <si>
    <t>Campeonato Nacional y Selectivo WKU</t>
  </si>
  <si>
    <t>Luis Fernando Jiménez</t>
  </si>
  <si>
    <t>Centro Deportivo Tricentenario</t>
  </si>
  <si>
    <t>Chihuahua</t>
  </si>
  <si>
    <t>Av. Homero 330, Revolución, 31135 Chihuahua, Chih.</t>
  </si>
  <si>
    <t>Panamericano WKC</t>
  </si>
  <si>
    <t>Hugo Mendoza</t>
  </si>
  <si>
    <t>WKC</t>
  </si>
  <si>
    <t>Impacto Marcial 2026</t>
  </si>
  <si>
    <t>Valentín Mireles, Alejandro Ramírez y Nicolás Rodríguez</t>
  </si>
  <si>
    <t>Open Fight</t>
  </si>
  <si>
    <t>Iván Luna Duarte</t>
  </si>
  <si>
    <t>Torneo Rosa</t>
  </si>
  <si>
    <t>Never Back Down Tournament</t>
  </si>
  <si>
    <t>Erik Velasco</t>
  </si>
  <si>
    <t>Copa UIAMA</t>
  </si>
  <si>
    <t>Hotel Hs Hotsson</t>
  </si>
  <si>
    <t>Guerrero</t>
  </si>
  <si>
    <t>Acapulco</t>
  </si>
  <si>
    <t>WKC - WAKTN - IAKSA - UIAMA - LASC</t>
  </si>
  <si>
    <t>Av Costera Miguel Alemán 1803, Fracc Magallanes, Magallanes, 39670 Acapulco de Juárez, Gro.</t>
  </si>
  <si>
    <t>TMA Titanes Tournament</t>
  </si>
  <si>
    <t>Hugo Eric Jiménez</t>
  </si>
  <si>
    <t>CNAR</t>
  </si>
  <si>
    <t>CDMX</t>
  </si>
  <si>
    <t>Iztacalco</t>
  </si>
  <si>
    <t>Eje 3 Sur (Añil) 550, Granjas México, Iztacalco, 08400 Ciudad de México, CDMX</t>
  </si>
  <si>
    <t>IX Samurai Tournament</t>
  </si>
  <si>
    <t>Por Confirmar</t>
  </si>
  <si>
    <t>TLH XVII</t>
  </si>
  <si>
    <t>Ulises Rocha</t>
  </si>
  <si>
    <t>WTC Mexiquense</t>
  </si>
  <si>
    <t>Naucalpan de Juárez</t>
  </si>
  <si>
    <t>Cto. Circunvalación Ote. 10, Cd. Satélite, 53100 Naucalpan de Juárez, Méx.</t>
  </si>
  <si>
    <t>36 Torneo Kyushu</t>
  </si>
  <si>
    <t>Kyushu Querétaro</t>
  </si>
  <si>
    <t>Querétaro</t>
  </si>
  <si>
    <t>Torneo Internacional Tigres Honduras 2026</t>
  </si>
  <si>
    <t>Cristian Andino</t>
  </si>
  <si>
    <t>Polideportivo Universidad Pedagógica Nacional</t>
  </si>
  <si>
    <t>Honduras</t>
  </si>
  <si>
    <t>Tegucigalpa</t>
  </si>
  <si>
    <t>CIAM</t>
  </si>
  <si>
    <t>CA-6, Tegucigalpa, Francisco Morazán, Honduras</t>
  </si>
  <si>
    <t>Mexican Challenge</t>
  </si>
  <si>
    <t>Bushido Sport Karate</t>
  </si>
  <si>
    <t>Edgar Bushido</t>
  </si>
  <si>
    <t>Deportivo Ciudad Jardín Bicentenario</t>
  </si>
  <si>
    <t>Nezahualcoyotl</t>
  </si>
  <si>
    <t>Manzana 001, Cdad. Jardín, 57205 Cdad. Nezahualcóyotl, Méx.</t>
  </si>
  <si>
    <t>Copa Dragón 2026</t>
  </si>
  <si>
    <t>Jonatan Ramírez</t>
  </si>
  <si>
    <t>Colegio Agustiniano</t>
  </si>
  <si>
    <t>Guatemala</t>
  </si>
  <si>
    <t>5ta. avenida 23-55, Cdad. de Guatemala, Guatemala</t>
  </si>
  <si>
    <t>Oshima "El Legado" 5ta Edición</t>
  </si>
  <si>
    <t>Crystian Munguía</t>
  </si>
  <si>
    <t>Best of the Best</t>
  </si>
  <si>
    <t>Deportivo Joaquín Capilla</t>
  </si>
  <si>
    <t>Benito Juárez</t>
  </si>
  <si>
    <t>WKU - NMAC</t>
  </si>
  <si>
    <t>Santiago Rebull 50 A, Mixcoac, Benito Juárez, 03910 Ciudad de México, CDMX</t>
  </si>
  <si>
    <t>Tollocan</t>
  </si>
  <si>
    <t>Duelo de Titanes</t>
  </si>
  <si>
    <t>Javier Martínez y Diana González</t>
  </si>
  <si>
    <t>Copa Bonsai: Torneo de Artes Marciales</t>
  </si>
  <si>
    <t>Convivencia Marcial</t>
  </si>
  <si>
    <t>Rian Baños</t>
  </si>
  <si>
    <t>Top Ten</t>
  </si>
  <si>
    <t>Edgar Jiménez y Liz Jiménez</t>
  </si>
  <si>
    <t>Colegio Simón Bolivar del Pedregal</t>
  </si>
  <si>
    <t>URL_Poster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</si>
</sst>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D52225-2222-4AC6-A7B9-5422AA109A46}" name="tbl_base" displayName="tbl_base" ref="B4:K52" totalsRowShown="0">
  <autoFilter ref="B4:K52" xr:uid="{C0EFDFD7-A33E-DF4A-A26F-0AEAF9B3E1C9}"/>
  <sortState xmlns:xlrd2="http://schemas.microsoft.com/office/spreadsheetml/2017/richdata2" ref="B5:I52">
    <sortCondition ref="B4:B52"/>
  </sortState>
  <tableColumns count="10">
    <tableColumn id="1" xr3:uid="{A6932FB2-9ED1-4CE7-B313-DB3E4921DDE1}" name="Fecha" dataDxfId="1"/>
    <tableColumn id="4" xr3:uid="{BFD2E9EB-0FCB-4E21-BAF6-C24826747E84}" name="Nombre"/>
    <tableColumn id="5" xr3:uid="{E9135599-89A9-44E9-91E6-BC29CD40D3E3}" name="Promotor"/>
    <tableColumn id="6" xr3:uid="{58CE74AB-0565-4710-B452-17F264506C1B}" name="Sede"/>
    <tableColumn id="7" xr3:uid="{471216CE-D5BC-40FB-8AB8-01C096128701}" name="Entidad"/>
    <tableColumn id="8" xr3:uid="{976EDF9B-39A4-4A98-A766-D518AA89FE83}" name="Municipio"/>
    <tableColumn id="9" xr3:uid="{9D0FD823-0B50-48B3-9182-50143B80BDCA}" name="Liga/Asociacion"/>
    <tableColumn id="10" xr3:uid="{99463E5A-57D8-4450-96D0-CE16223A4F4C}" name="Dirección"/>
    <tableColumn id="11" xr3:uid="{B7377575-7112-442E-B64C-DA172F5B56B2}" name="MES" dataDxfId="0">
      <calculatedColumnFormula>MONTH(tbl_base[[#This Row],[Fecha]])</calculatedColumnFormula>
    </tableColumn>
    <tableColumn id="2" xr3:uid="{424B49EB-0412-45AC-86CC-DB90CF13A2DC}" name="URL_Pos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FDFD7-A33E-DF4A-A26F-0AEAF9B3E1C9}">
  <dimension ref="A1:K52"/>
  <sheetViews>
    <sheetView tabSelected="1" topLeftCell="D1" zoomScaleNormal="100" zoomScaleSheetLayoutView="100" workbookViewId="0">
      <selection activeCell="K5" sqref="K5"/>
    </sheetView>
  </sheetViews>
  <sheetFormatPr baseColWidth="10" defaultColWidth="8.88671875" defaultRowHeight="14.4" x14ac:dyDescent="0.3"/>
  <cols>
    <col min="2" max="2" width="12.44140625" bestFit="1" customWidth="1"/>
    <col min="3" max="3" width="42.88671875" bestFit="1" customWidth="1"/>
    <col min="4" max="4" width="36.5546875" bestFit="1" customWidth="1"/>
    <col min="5" max="5" width="39.33203125" bestFit="1" customWidth="1"/>
    <col min="6" max="6" width="16" bestFit="1" customWidth="1"/>
    <col min="7" max="7" width="18.6640625" bestFit="1" customWidth="1"/>
    <col min="8" max="8" width="32.5546875" bestFit="1" customWidth="1"/>
    <col min="9" max="9" width="36.5546875" bestFit="1" customWidth="1"/>
  </cols>
  <sheetData>
    <row r="1" spans="1:11" x14ac:dyDescent="0.3">
      <c r="A1" t="s">
        <v>0</v>
      </c>
    </row>
    <row r="2" spans="1:11" x14ac:dyDescent="0.3">
      <c r="A2" t="s">
        <v>1</v>
      </c>
    </row>
    <row r="4" spans="1:11" x14ac:dyDescent="0.3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148</v>
      </c>
    </row>
    <row r="5" spans="1:11" x14ac:dyDescent="0.3">
      <c r="B5" s="1">
        <v>46060</v>
      </c>
      <c r="C5" t="s">
        <v>11</v>
      </c>
      <c r="D5" t="s">
        <v>12</v>
      </c>
      <c r="E5" t="s">
        <v>147</v>
      </c>
      <c r="F5" t="s">
        <v>13</v>
      </c>
      <c r="G5" t="s">
        <v>14</v>
      </c>
      <c r="H5" t="s">
        <v>15</v>
      </c>
      <c r="I5" t="s">
        <v>16</v>
      </c>
      <c r="J5">
        <f>MONTH(tbl_base[[#This Row],[Fecha]])</f>
        <v>2</v>
      </c>
    </row>
    <row r="6" spans="1:11" x14ac:dyDescent="0.3">
      <c r="B6" s="1">
        <v>46060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>
        <f>MONTH(tbl_base[[#This Row],[Fecha]])</f>
        <v>2</v>
      </c>
    </row>
    <row r="7" spans="1:11" x14ac:dyDescent="0.3">
      <c r="B7" s="1">
        <v>46061</v>
      </c>
      <c r="C7" t="s">
        <v>24</v>
      </c>
      <c r="D7" t="s">
        <v>25</v>
      </c>
      <c r="E7" t="s">
        <v>26</v>
      </c>
      <c r="F7" t="s">
        <v>13</v>
      </c>
      <c r="G7" t="s">
        <v>27</v>
      </c>
      <c r="H7" t="s">
        <v>28</v>
      </c>
      <c r="I7" t="s">
        <v>29</v>
      </c>
      <c r="J7">
        <f>MONTH(tbl_base[[#This Row],[Fecha]])</f>
        <v>2</v>
      </c>
    </row>
    <row r="8" spans="1:11" x14ac:dyDescent="0.3">
      <c r="B8" s="1">
        <v>46067</v>
      </c>
      <c r="C8" t="s">
        <v>30</v>
      </c>
      <c r="D8" t="s">
        <v>31</v>
      </c>
      <c r="E8" t="s">
        <v>32</v>
      </c>
      <c r="F8" t="s">
        <v>13</v>
      </c>
      <c r="G8" t="s">
        <v>33</v>
      </c>
      <c r="H8" t="s">
        <v>15</v>
      </c>
      <c r="I8" t="s">
        <v>34</v>
      </c>
      <c r="J8">
        <f>MONTH(tbl_base[[#This Row],[Fecha]])</f>
        <v>2</v>
      </c>
    </row>
    <row r="9" spans="1:11" x14ac:dyDescent="0.3">
      <c r="B9" s="1">
        <v>46074</v>
      </c>
      <c r="C9" t="s">
        <v>35</v>
      </c>
      <c r="D9" t="s">
        <v>36</v>
      </c>
      <c r="E9" t="s">
        <v>37</v>
      </c>
      <c r="F9" t="s">
        <v>37</v>
      </c>
      <c r="G9" t="s">
        <v>37</v>
      </c>
      <c r="H9" t="s">
        <v>15</v>
      </c>
      <c r="I9" t="s">
        <v>37</v>
      </c>
      <c r="J9">
        <f>MONTH(tbl_base[[#This Row],[Fecha]])</f>
        <v>2</v>
      </c>
    </row>
    <row r="10" spans="1:11" x14ac:dyDescent="0.3">
      <c r="B10" s="1">
        <v>46075</v>
      </c>
      <c r="C10" t="s">
        <v>38</v>
      </c>
      <c r="D10" t="s">
        <v>39</v>
      </c>
      <c r="E10" t="s">
        <v>40</v>
      </c>
      <c r="F10" t="s">
        <v>13</v>
      </c>
      <c r="G10" t="s">
        <v>33</v>
      </c>
      <c r="H10" t="s">
        <v>15</v>
      </c>
      <c r="I10" t="s">
        <v>41</v>
      </c>
      <c r="J10">
        <f>MONTH(tbl_base[[#This Row],[Fecha]])</f>
        <v>2</v>
      </c>
    </row>
    <row r="11" spans="1:11" x14ac:dyDescent="0.3">
      <c r="B11" s="1">
        <v>46081</v>
      </c>
      <c r="C11" t="s">
        <v>42</v>
      </c>
      <c r="D11" t="s">
        <v>43</v>
      </c>
      <c r="E11" t="s">
        <v>37</v>
      </c>
      <c r="F11" t="s">
        <v>44</v>
      </c>
      <c r="G11" t="s">
        <v>44</v>
      </c>
      <c r="H11" t="s">
        <v>45</v>
      </c>
      <c r="I11" t="s">
        <v>37</v>
      </c>
      <c r="J11">
        <f>MONTH(tbl_base[[#This Row],[Fecha]])</f>
        <v>2</v>
      </c>
    </row>
    <row r="12" spans="1:11" x14ac:dyDescent="0.3">
      <c r="B12" s="1">
        <v>46082</v>
      </c>
      <c r="C12" t="s">
        <v>46</v>
      </c>
      <c r="D12" t="s">
        <v>47</v>
      </c>
      <c r="E12" t="s">
        <v>19</v>
      </c>
      <c r="F12" t="s">
        <v>20</v>
      </c>
      <c r="G12" t="s">
        <v>21</v>
      </c>
      <c r="H12" t="s">
        <v>15</v>
      </c>
      <c r="I12" t="s">
        <v>23</v>
      </c>
      <c r="J12">
        <f>MONTH(tbl_base[[#This Row],[Fecha]])</f>
        <v>3</v>
      </c>
    </row>
    <row r="13" spans="1:11" x14ac:dyDescent="0.3">
      <c r="B13" s="1">
        <v>46088</v>
      </c>
      <c r="C13" t="s">
        <v>48</v>
      </c>
      <c r="D13" t="s">
        <v>49</v>
      </c>
      <c r="E13" t="s">
        <v>50</v>
      </c>
      <c r="F13" t="s">
        <v>20</v>
      </c>
      <c r="G13" t="s">
        <v>51</v>
      </c>
      <c r="H13" t="s">
        <v>15</v>
      </c>
      <c r="I13" t="s">
        <v>52</v>
      </c>
      <c r="J13">
        <f>MONTH(tbl_base[[#This Row],[Fecha]])</f>
        <v>3</v>
      </c>
    </row>
    <row r="14" spans="1:11" x14ac:dyDescent="0.3">
      <c r="B14" s="1">
        <v>46089</v>
      </c>
      <c r="C14" t="s">
        <v>48</v>
      </c>
      <c r="D14" t="s">
        <v>49</v>
      </c>
      <c r="E14" t="s">
        <v>50</v>
      </c>
      <c r="F14" t="s">
        <v>20</v>
      </c>
      <c r="G14" t="s">
        <v>51</v>
      </c>
      <c r="H14" t="s">
        <v>15</v>
      </c>
      <c r="I14" t="s">
        <v>52</v>
      </c>
      <c r="J14">
        <f>MONTH(tbl_base[[#This Row],[Fecha]])</f>
        <v>3</v>
      </c>
    </row>
    <row r="15" spans="1:11" x14ac:dyDescent="0.3">
      <c r="B15" s="1">
        <v>46095</v>
      </c>
      <c r="C15" t="s">
        <v>53</v>
      </c>
      <c r="D15" t="s">
        <v>4</v>
      </c>
      <c r="E15" t="s">
        <v>37</v>
      </c>
      <c r="F15" t="s">
        <v>37</v>
      </c>
      <c r="G15" t="s">
        <v>37</v>
      </c>
      <c r="H15" t="s">
        <v>45</v>
      </c>
      <c r="I15" t="s">
        <v>37</v>
      </c>
      <c r="J15">
        <f>MONTH(tbl_base[[#This Row],[Fecha]])</f>
        <v>3</v>
      </c>
    </row>
    <row r="16" spans="1:11" x14ac:dyDescent="0.3">
      <c r="B16" s="1">
        <v>46102</v>
      </c>
      <c r="C16" t="s">
        <v>54</v>
      </c>
      <c r="D16" t="s">
        <v>55</v>
      </c>
      <c r="E16" t="s">
        <v>37</v>
      </c>
      <c r="F16" t="s">
        <v>56</v>
      </c>
      <c r="G16" t="s">
        <v>57</v>
      </c>
      <c r="H16" t="s">
        <v>28</v>
      </c>
      <c r="I16" t="s">
        <v>37</v>
      </c>
      <c r="J16">
        <f>MONTH(tbl_base[[#This Row],[Fecha]])</f>
        <v>3</v>
      </c>
    </row>
    <row r="17" spans="2:10" x14ac:dyDescent="0.3">
      <c r="B17" s="1">
        <v>46103</v>
      </c>
      <c r="C17" t="s">
        <v>58</v>
      </c>
      <c r="D17" t="s">
        <v>59</v>
      </c>
      <c r="E17" t="s">
        <v>37</v>
      </c>
      <c r="F17" t="s">
        <v>37</v>
      </c>
      <c r="G17" t="s">
        <v>37</v>
      </c>
      <c r="H17" t="s">
        <v>15</v>
      </c>
      <c r="I17" t="s">
        <v>37</v>
      </c>
      <c r="J17">
        <f>MONTH(tbl_base[[#This Row],[Fecha]])</f>
        <v>3</v>
      </c>
    </row>
    <row r="18" spans="2:10" x14ac:dyDescent="0.3">
      <c r="B18" s="1">
        <v>46103</v>
      </c>
      <c r="C18" t="s">
        <v>60</v>
      </c>
      <c r="D18" t="s">
        <v>61</v>
      </c>
      <c r="E18" t="s">
        <v>62</v>
      </c>
      <c r="F18" t="s">
        <v>20</v>
      </c>
      <c r="G18" t="s">
        <v>63</v>
      </c>
      <c r="H18" t="s">
        <v>15</v>
      </c>
      <c r="I18" t="s">
        <v>64</v>
      </c>
      <c r="J18">
        <f>MONTH(tbl_base[[#This Row],[Fecha]])</f>
        <v>3</v>
      </c>
    </row>
    <row r="19" spans="2:10" x14ac:dyDescent="0.3">
      <c r="B19" s="1">
        <v>46109</v>
      </c>
      <c r="C19" t="s">
        <v>65</v>
      </c>
      <c r="D19" t="s">
        <v>66</v>
      </c>
      <c r="E19" t="s">
        <v>19</v>
      </c>
      <c r="F19" t="s">
        <v>20</v>
      </c>
      <c r="G19" t="s">
        <v>21</v>
      </c>
      <c r="H19" t="s">
        <v>67</v>
      </c>
      <c r="I19" t="s">
        <v>23</v>
      </c>
      <c r="J19">
        <f>MONTH(tbl_base[[#This Row],[Fecha]])</f>
        <v>3</v>
      </c>
    </row>
    <row r="20" spans="2:10" x14ac:dyDescent="0.3">
      <c r="B20" s="1">
        <v>46130</v>
      </c>
      <c r="C20" t="s">
        <v>68</v>
      </c>
      <c r="D20" t="s">
        <v>69</v>
      </c>
      <c r="E20" t="s">
        <v>70</v>
      </c>
      <c r="F20" t="s">
        <v>71</v>
      </c>
      <c r="G20" t="s">
        <v>72</v>
      </c>
      <c r="H20" t="s">
        <v>73</v>
      </c>
      <c r="I20" t="s">
        <v>37</v>
      </c>
      <c r="J20">
        <f>MONTH(tbl_base[[#This Row],[Fecha]])</f>
        <v>4</v>
      </c>
    </row>
    <row r="21" spans="2:10" x14ac:dyDescent="0.3">
      <c r="B21" s="1">
        <v>46131</v>
      </c>
      <c r="C21" t="s">
        <v>68</v>
      </c>
      <c r="D21" t="s">
        <v>69</v>
      </c>
      <c r="E21" t="s">
        <v>70</v>
      </c>
      <c r="F21" t="s">
        <v>71</v>
      </c>
      <c r="G21" t="s">
        <v>72</v>
      </c>
      <c r="H21" t="s">
        <v>73</v>
      </c>
      <c r="I21" t="s">
        <v>37</v>
      </c>
      <c r="J21">
        <f>MONTH(tbl_base[[#This Row],[Fecha]])</f>
        <v>4</v>
      </c>
    </row>
    <row r="22" spans="2:10" x14ac:dyDescent="0.3">
      <c r="B22" s="1">
        <v>46137</v>
      </c>
      <c r="C22" t="s">
        <v>74</v>
      </c>
      <c r="D22" t="s">
        <v>75</v>
      </c>
      <c r="E22" t="s">
        <v>19</v>
      </c>
      <c r="F22" t="s">
        <v>20</v>
      </c>
      <c r="G22" t="s">
        <v>21</v>
      </c>
      <c r="H22" t="s">
        <v>76</v>
      </c>
      <c r="I22" t="s">
        <v>23</v>
      </c>
      <c r="J22">
        <f>MONTH(tbl_base[[#This Row],[Fecha]])</f>
        <v>4</v>
      </c>
    </row>
    <row r="23" spans="2:10" x14ac:dyDescent="0.3">
      <c r="B23" s="1">
        <v>46143</v>
      </c>
      <c r="C23" t="s">
        <v>77</v>
      </c>
      <c r="D23" t="s">
        <v>78</v>
      </c>
      <c r="E23" t="s">
        <v>79</v>
      </c>
      <c r="F23" t="s">
        <v>80</v>
      </c>
      <c r="G23" t="s">
        <v>80</v>
      </c>
      <c r="H23" t="s">
        <v>45</v>
      </c>
      <c r="I23" t="s">
        <v>81</v>
      </c>
      <c r="J23">
        <f>MONTH(tbl_base[[#This Row],[Fecha]])</f>
        <v>5</v>
      </c>
    </row>
    <row r="24" spans="2:10" x14ac:dyDescent="0.3">
      <c r="B24" s="1">
        <v>46143</v>
      </c>
      <c r="C24" t="s">
        <v>82</v>
      </c>
      <c r="D24" t="s">
        <v>83</v>
      </c>
      <c r="E24" t="s">
        <v>37</v>
      </c>
      <c r="F24" t="s">
        <v>37</v>
      </c>
      <c r="G24" t="s">
        <v>37</v>
      </c>
      <c r="H24" t="s">
        <v>84</v>
      </c>
      <c r="I24" t="s">
        <v>37</v>
      </c>
      <c r="J24">
        <f>MONTH(tbl_base[[#This Row],[Fecha]])</f>
        <v>5</v>
      </c>
    </row>
    <row r="25" spans="2:10" x14ac:dyDescent="0.3">
      <c r="B25" s="1">
        <v>46144</v>
      </c>
      <c r="C25" t="s">
        <v>85</v>
      </c>
      <c r="D25" t="s">
        <v>86</v>
      </c>
      <c r="E25" s="2" t="s">
        <v>37</v>
      </c>
      <c r="F25" t="s">
        <v>37</v>
      </c>
      <c r="G25" t="s">
        <v>37</v>
      </c>
      <c r="H25" t="s">
        <v>22</v>
      </c>
      <c r="I25" t="s">
        <v>37</v>
      </c>
      <c r="J25">
        <f>MONTH(tbl_base[[#This Row],[Fecha]])</f>
        <v>5</v>
      </c>
    </row>
    <row r="26" spans="2:10" x14ac:dyDescent="0.3">
      <c r="B26" s="1">
        <v>46144</v>
      </c>
      <c r="C26" t="s">
        <v>77</v>
      </c>
      <c r="D26" t="s">
        <v>78</v>
      </c>
      <c r="E26" t="s">
        <v>79</v>
      </c>
      <c r="F26" t="s">
        <v>80</v>
      </c>
      <c r="G26" t="s">
        <v>80</v>
      </c>
      <c r="H26" t="s">
        <v>45</v>
      </c>
      <c r="I26" t="s">
        <v>81</v>
      </c>
      <c r="J26">
        <f>MONTH(tbl_base[[#This Row],[Fecha]])</f>
        <v>5</v>
      </c>
    </row>
    <row r="27" spans="2:10" x14ac:dyDescent="0.3">
      <c r="B27" s="1">
        <v>46144</v>
      </c>
      <c r="C27" t="s">
        <v>82</v>
      </c>
      <c r="D27" t="s">
        <v>83</v>
      </c>
      <c r="E27" t="s">
        <v>37</v>
      </c>
      <c r="F27" t="s">
        <v>37</v>
      </c>
      <c r="G27" t="s">
        <v>37</v>
      </c>
      <c r="H27" t="s">
        <v>84</v>
      </c>
      <c r="I27" t="s">
        <v>37</v>
      </c>
      <c r="J27">
        <f>MONTH(tbl_base[[#This Row],[Fecha]])</f>
        <v>5</v>
      </c>
    </row>
    <row r="28" spans="2:10" x14ac:dyDescent="0.3">
      <c r="B28" s="1">
        <v>46145</v>
      </c>
      <c r="C28" t="s">
        <v>85</v>
      </c>
      <c r="D28" t="s">
        <v>86</v>
      </c>
      <c r="E28" t="s">
        <v>37</v>
      </c>
      <c r="F28" t="s">
        <v>37</v>
      </c>
      <c r="G28" t="s">
        <v>37</v>
      </c>
      <c r="H28" t="s">
        <v>22</v>
      </c>
      <c r="I28" t="s">
        <v>37</v>
      </c>
      <c r="J28">
        <f>MONTH(tbl_base[[#This Row],[Fecha]])</f>
        <v>5</v>
      </c>
    </row>
    <row r="29" spans="2:10" x14ac:dyDescent="0.3">
      <c r="B29" s="1">
        <v>46145</v>
      </c>
      <c r="C29" t="s">
        <v>77</v>
      </c>
      <c r="D29" t="s">
        <v>78</v>
      </c>
      <c r="E29" t="s">
        <v>79</v>
      </c>
      <c r="F29" t="s">
        <v>80</v>
      </c>
      <c r="G29" t="s">
        <v>80</v>
      </c>
      <c r="H29" t="s">
        <v>45</v>
      </c>
      <c r="I29" t="s">
        <v>81</v>
      </c>
      <c r="J29">
        <f>MONTH(tbl_base[[#This Row],[Fecha]])</f>
        <v>5</v>
      </c>
    </row>
    <row r="30" spans="2:10" x14ac:dyDescent="0.3">
      <c r="B30" s="1">
        <v>46158</v>
      </c>
      <c r="C30" t="s">
        <v>87</v>
      </c>
      <c r="D30" t="s">
        <v>88</v>
      </c>
      <c r="E30" t="s">
        <v>19</v>
      </c>
      <c r="F30" t="s">
        <v>20</v>
      </c>
      <c r="G30" t="s">
        <v>21</v>
      </c>
      <c r="H30" t="s">
        <v>28</v>
      </c>
      <c r="I30" t="s">
        <v>23</v>
      </c>
      <c r="J30">
        <f>MONTH(tbl_base[[#This Row],[Fecha]])</f>
        <v>5</v>
      </c>
    </row>
    <row r="31" spans="2:10" x14ac:dyDescent="0.3">
      <c r="B31" s="1">
        <v>46165</v>
      </c>
      <c r="C31" t="s">
        <v>89</v>
      </c>
      <c r="D31" t="s">
        <v>61</v>
      </c>
      <c r="E31" t="s">
        <v>37</v>
      </c>
      <c r="F31" t="s">
        <v>37</v>
      </c>
      <c r="G31" t="s">
        <v>37</v>
      </c>
      <c r="H31" t="s">
        <v>15</v>
      </c>
      <c r="I31" t="s">
        <v>37</v>
      </c>
      <c r="J31">
        <f>MONTH(tbl_base[[#This Row],[Fecha]])</f>
        <v>5</v>
      </c>
    </row>
    <row r="32" spans="2:10" x14ac:dyDescent="0.3">
      <c r="B32" s="1">
        <v>46172</v>
      </c>
      <c r="C32" t="s">
        <v>90</v>
      </c>
      <c r="D32" t="s">
        <v>91</v>
      </c>
      <c r="E32" t="s">
        <v>37</v>
      </c>
      <c r="F32" t="s">
        <v>37</v>
      </c>
      <c r="G32" t="s">
        <v>37</v>
      </c>
      <c r="H32" t="s">
        <v>15</v>
      </c>
      <c r="I32" t="s">
        <v>37</v>
      </c>
      <c r="J32">
        <f>MONTH(tbl_base[[#This Row],[Fecha]])</f>
        <v>5</v>
      </c>
    </row>
    <row r="33" spans="2:10" x14ac:dyDescent="0.3">
      <c r="B33" s="1">
        <v>46185</v>
      </c>
      <c r="C33" t="s">
        <v>92</v>
      </c>
      <c r="D33" t="s">
        <v>88</v>
      </c>
      <c r="E33" t="s">
        <v>93</v>
      </c>
      <c r="F33" t="s">
        <v>94</v>
      </c>
      <c r="G33" t="s">
        <v>95</v>
      </c>
      <c r="H33" t="s">
        <v>96</v>
      </c>
      <c r="I33" t="s">
        <v>97</v>
      </c>
      <c r="J33">
        <f>MONTH(tbl_base[[#This Row],[Fecha]])</f>
        <v>6</v>
      </c>
    </row>
    <row r="34" spans="2:10" x14ac:dyDescent="0.3">
      <c r="B34" s="1">
        <v>46186</v>
      </c>
      <c r="C34" t="s">
        <v>98</v>
      </c>
      <c r="D34" t="s">
        <v>99</v>
      </c>
      <c r="E34" t="s">
        <v>100</v>
      </c>
      <c r="F34" t="s">
        <v>101</v>
      </c>
      <c r="G34" t="s">
        <v>102</v>
      </c>
      <c r="H34" t="s">
        <v>76</v>
      </c>
      <c r="I34" t="s">
        <v>103</v>
      </c>
      <c r="J34">
        <f>MONTH(tbl_base[[#This Row],[Fecha]])</f>
        <v>6</v>
      </c>
    </row>
    <row r="35" spans="2:10" x14ac:dyDescent="0.3">
      <c r="B35" s="1">
        <v>46186</v>
      </c>
      <c r="C35" t="s">
        <v>92</v>
      </c>
      <c r="D35" t="s">
        <v>88</v>
      </c>
      <c r="E35" t="s">
        <v>93</v>
      </c>
      <c r="F35" t="s">
        <v>94</v>
      </c>
      <c r="G35" t="s">
        <v>95</v>
      </c>
      <c r="H35" t="s">
        <v>96</v>
      </c>
      <c r="I35" t="s">
        <v>97</v>
      </c>
      <c r="J35">
        <f>MONTH(tbl_base[[#This Row],[Fecha]])</f>
        <v>6</v>
      </c>
    </row>
    <row r="36" spans="2:10" x14ac:dyDescent="0.3">
      <c r="B36" s="1">
        <v>46187</v>
      </c>
      <c r="C36" t="s">
        <v>92</v>
      </c>
      <c r="D36" t="s">
        <v>88</v>
      </c>
      <c r="E36" t="s">
        <v>93</v>
      </c>
      <c r="F36" t="s">
        <v>94</v>
      </c>
      <c r="G36" t="s">
        <v>95</v>
      </c>
      <c r="H36" t="s">
        <v>96</v>
      </c>
      <c r="I36" t="s">
        <v>97</v>
      </c>
      <c r="J36">
        <f>MONTH(tbl_base[[#This Row],[Fecha]])</f>
        <v>6</v>
      </c>
    </row>
    <row r="37" spans="2:10" x14ac:dyDescent="0.3">
      <c r="B37" s="1">
        <v>46200</v>
      </c>
      <c r="C37" t="s">
        <v>104</v>
      </c>
      <c r="D37" t="s">
        <v>105</v>
      </c>
      <c r="E37" t="s">
        <v>37</v>
      </c>
      <c r="F37" t="s">
        <v>37</v>
      </c>
      <c r="G37" t="s">
        <v>37</v>
      </c>
      <c r="H37" t="s">
        <v>105</v>
      </c>
      <c r="I37" t="s">
        <v>37</v>
      </c>
      <c r="J37">
        <f>MONTH(tbl_base[[#This Row],[Fecha]])</f>
        <v>6</v>
      </c>
    </row>
    <row r="38" spans="2:10" x14ac:dyDescent="0.3">
      <c r="B38" s="1">
        <v>46201</v>
      </c>
      <c r="C38" t="s">
        <v>106</v>
      </c>
      <c r="D38" t="s">
        <v>107</v>
      </c>
      <c r="E38" t="s">
        <v>108</v>
      </c>
      <c r="F38" t="s">
        <v>20</v>
      </c>
      <c r="G38" t="s">
        <v>109</v>
      </c>
      <c r="H38" t="s">
        <v>15</v>
      </c>
      <c r="I38" t="s">
        <v>110</v>
      </c>
      <c r="J38">
        <f>MONTH(tbl_base[[#This Row],[Fecha]])</f>
        <v>6</v>
      </c>
    </row>
    <row r="39" spans="2:10" x14ac:dyDescent="0.3">
      <c r="B39" s="1">
        <v>46215</v>
      </c>
      <c r="C39" t="s">
        <v>111</v>
      </c>
      <c r="D39" t="s">
        <v>112</v>
      </c>
      <c r="E39" t="s">
        <v>37</v>
      </c>
      <c r="F39" t="s">
        <v>113</v>
      </c>
      <c r="G39" t="s">
        <v>37</v>
      </c>
      <c r="H39" t="s">
        <v>15</v>
      </c>
      <c r="I39" t="s">
        <v>37</v>
      </c>
      <c r="J39">
        <f>MONTH(tbl_base[[#This Row],[Fecha]])</f>
        <v>7</v>
      </c>
    </row>
    <row r="40" spans="2:10" x14ac:dyDescent="0.3">
      <c r="B40" s="1">
        <v>46221</v>
      </c>
      <c r="C40" t="s">
        <v>114</v>
      </c>
      <c r="D40" t="s">
        <v>115</v>
      </c>
      <c r="E40" t="s">
        <v>116</v>
      </c>
      <c r="F40" t="s">
        <v>117</v>
      </c>
      <c r="G40" t="s">
        <v>118</v>
      </c>
      <c r="H40" t="s">
        <v>119</v>
      </c>
      <c r="I40" t="s">
        <v>120</v>
      </c>
      <c r="J40">
        <f>MONTH(tbl_base[[#This Row],[Fecha]])</f>
        <v>7</v>
      </c>
    </row>
    <row r="41" spans="2:10" x14ac:dyDescent="0.3">
      <c r="B41" s="1">
        <v>46228</v>
      </c>
      <c r="C41" t="s">
        <v>121</v>
      </c>
      <c r="D41" t="s">
        <v>88</v>
      </c>
      <c r="E41" t="s">
        <v>19</v>
      </c>
      <c r="F41" t="s">
        <v>20</v>
      </c>
      <c r="G41" t="s">
        <v>21</v>
      </c>
      <c r="H41" t="s">
        <v>96</v>
      </c>
      <c r="I41" t="s">
        <v>23</v>
      </c>
      <c r="J41">
        <f>MONTH(tbl_base[[#This Row],[Fecha]])</f>
        <v>7</v>
      </c>
    </row>
    <row r="42" spans="2:10" x14ac:dyDescent="0.3">
      <c r="B42" s="1">
        <v>46235</v>
      </c>
      <c r="C42" t="s">
        <v>122</v>
      </c>
      <c r="D42" t="s">
        <v>123</v>
      </c>
      <c r="E42" t="s">
        <v>124</v>
      </c>
      <c r="F42" t="s">
        <v>20</v>
      </c>
      <c r="G42" t="s">
        <v>125</v>
      </c>
      <c r="H42" t="s">
        <v>22</v>
      </c>
      <c r="I42" t="s">
        <v>126</v>
      </c>
      <c r="J42">
        <f>MONTH(tbl_base[[#This Row],[Fecha]])</f>
        <v>8</v>
      </c>
    </row>
    <row r="43" spans="2:10" x14ac:dyDescent="0.3">
      <c r="B43" s="1">
        <v>46235</v>
      </c>
      <c r="C43" t="s">
        <v>127</v>
      </c>
      <c r="D43" t="s">
        <v>128</v>
      </c>
      <c r="E43" t="s">
        <v>129</v>
      </c>
      <c r="F43" t="s">
        <v>130</v>
      </c>
      <c r="G43" t="s">
        <v>130</v>
      </c>
      <c r="H43" t="s">
        <v>15</v>
      </c>
      <c r="I43" t="s">
        <v>131</v>
      </c>
      <c r="J43">
        <f>MONTH(tbl_base[[#This Row],[Fecha]])</f>
        <v>8</v>
      </c>
    </row>
    <row r="44" spans="2:10" x14ac:dyDescent="0.3">
      <c r="B44" s="1">
        <v>46236</v>
      </c>
      <c r="C44" t="s">
        <v>127</v>
      </c>
      <c r="D44" t="s">
        <v>128</v>
      </c>
      <c r="E44" t="s">
        <v>129</v>
      </c>
      <c r="F44" t="s">
        <v>130</v>
      </c>
      <c r="G44" t="s">
        <v>130</v>
      </c>
      <c r="H44" t="s">
        <v>15</v>
      </c>
      <c r="I44" t="s">
        <v>131</v>
      </c>
      <c r="J44">
        <f>MONTH(tbl_base[[#This Row],[Fecha]])</f>
        <v>8</v>
      </c>
    </row>
    <row r="45" spans="2:10" x14ac:dyDescent="0.3">
      <c r="B45" s="1">
        <v>46270</v>
      </c>
      <c r="C45" t="s">
        <v>132</v>
      </c>
      <c r="D45" t="s">
        <v>133</v>
      </c>
      <c r="E45" t="s">
        <v>19</v>
      </c>
      <c r="F45" t="s">
        <v>20</v>
      </c>
      <c r="G45" t="s">
        <v>21</v>
      </c>
      <c r="H45" t="s">
        <v>96</v>
      </c>
      <c r="I45" t="s">
        <v>23</v>
      </c>
      <c r="J45">
        <f>MONTH(tbl_base[[#This Row],[Fecha]])</f>
        <v>9</v>
      </c>
    </row>
    <row r="46" spans="2:10" x14ac:dyDescent="0.3">
      <c r="B46" s="1">
        <v>46292</v>
      </c>
      <c r="C46" t="s">
        <v>134</v>
      </c>
      <c r="D46" t="s">
        <v>146</v>
      </c>
      <c r="E46" t="s">
        <v>135</v>
      </c>
      <c r="F46" t="s">
        <v>13</v>
      </c>
      <c r="G46" t="s">
        <v>136</v>
      </c>
      <c r="H46" t="s">
        <v>137</v>
      </c>
      <c r="I46" t="s">
        <v>138</v>
      </c>
      <c r="J46">
        <f>MONTH(tbl_base[[#This Row],[Fecha]])</f>
        <v>9</v>
      </c>
    </row>
    <row r="47" spans="2:10" x14ac:dyDescent="0.3">
      <c r="B47" s="1">
        <v>46293</v>
      </c>
      <c r="C47" t="s">
        <v>139</v>
      </c>
      <c r="D47" t="s">
        <v>83</v>
      </c>
      <c r="E47" t="s">
        <v>37</v>
      </c>
      <c r="F47" t="s">
        <v>37</v>
      </c>
      <c r="G47" t="s">
        <v>37</v>
      </c>
      <c r="H47" t="s">
        <v>84</v>
      </c>
      <c r="I47" t="s">
        <v>37</v>
      </c>
      <c r="J47">
        <f>MONTH(tbl_base[[#This Row],[Fecha]])</f>
        <v>9</v>
      </c>
    </row>
    <row r="48" spans="2:10" x14ac:dyDescent="0.3">
      <c r="B48" s="1">
        <v>46305</v>
      </c>
      <c r="C48" t="s">
        <v>140</v>
      </c>
      <c r="D48" t="s">
        <v>141</v>
      </c>
      <c r="E48" t="s">
        <v>37</v>
      </c>
      <c r="F48" t="s">
        <v>37</v>
      </c>
      <c r="G48" t="s">
        <v>37</v>
      </c>
      <c r="H48" t="s">
        <v>96</v>
      </c>
      <c r="I48" t="s">
        <v>37</v>
      </c>
      <c r="J48">
        <f>MONTH(tbl_base[[#This Row],[Fecha]])</f>
        <v>10</v>
      </c>
    </row>
    <row r="49" spans="2:10" x14ac:dyDescent="0.3">
      <c r="B49" s="1">
        <v>46312</v>
      </c>
      <c r="C49" t="s">
        <v>142</v>
      </c>
      <c r="D49" t="s">
        <v>47</v>
      </c>
      <c r="E49" t="s">
        <v>19</v>
      </c>
      <c r="F49" t="s">
        <v>20</v>
      </c>
      <c r="G49" t="s">
        <v>21</v>
      </c>
      <c r="H49" t="s">
        <v>15</v>
      </c>
      <c r="I49" t="s">
        <v>23</v>
      </c>
      <c r="J49">
        <f>MONTH(tbl_base[[#This Row],[Fecha]])</f>
        <v>10</v>
      </c>
    </row>
    <row r="50" spans="2:10" x14ac:dyDescent="0.3">
      <c r="B50" s="1">
        <v>46339</v>
      </c>
      <c r="C50" t="s">
        <v>143</v>
      </c>
      <c r="D50" t="s">
        <v>144</v>
      </c>
      <c r="E50" t="s">
        <v>37</v>
      </c>
      <c r="F50" t="s">
        <v>37</v>
      </c>
      <c r="G50" t="s">
        <v>37</v>
      </c>
      <c r="H50" t="s">
        <v>15</v>
      </c>
      <c r="I50" t="s">
        <v>37</v>
      </c>
      <c r="J50">
        <f>MONTH(tbl_base[[#This Row],[Fecha]])</f>
        <v>11</v>
      </c>
    </row>
    <row r="51" spans="2:10" x14ac:dyDescent="0.3">
      <c r="B51" s="1">
        <v>46339</v>
      </c>
      <c r="C51" t="s">
        <v>145</v>
      </c>
      <c r="D51" t="s">
        <v>83</v>
      </c>
      <c r="E51" t="s">
        <v>37</v>
      </c>
      <c r="F51" t="s">
        <v>37</v>
      </c>
      <c r="G51" t="s">
        <v>37</v>
      </c>
      <c r="H51" t="s">
        <v>84</v>
      </c>
      <c r="I51" t="s">
        <v>37</v>
      </c>
      <c r="J51">
        <f>MONTH(tbl_base[[#This Row],[Fecha]])</f>
        <v>11</v>
      </c>
    </row>
    <row r="52" spans="2:10" x14ac:dyDescent="0.3">
      <c r="B52" s="1">
        <v>46340</v>
      </c>
      <c r="C52" t="s">
        <v>145</v>
      </c>
      <c r="D52" t="s">
        <v>83</v>
      </c>
      <c r="E52" t="s">
        <v>37</v>
      </c>
      <c r="F52" t="s">
        <v>37</v>
      </c>
      <c r="G52" t="s">
        <v>37</v>
      </c>
      <c r="H52" t="s">
        <v>84</v>
      </c>
      <c r="I52" t="s">
        <v>37</v>
      </c>
      <c r="J52">
        <f>MONTH(tbl_base[[#This Row],[Fecha]])</f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Ray Diaz</dc:creator>
  <cp:keywords/>
  <dc:description/>
  <cp:lastModifiedBy>Ray Diaz</cp:lastModifiedBy>
  <cp:revision/>
  <dcterms:created xsi:type="dcterms:W3CDTF">2025-12-21T11:42:49Z</dcterms:created>
  <dcterms:modified xsi:type="dcterms:W3CDTF">2026-01-08T08:58:54Z</dcterms:modified>
  <cp:category/>
  <cp:contentStatus/>
</cp:coreProperties>
</file>